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Lembar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<sst xmlns="http://schemas.openxmlformats.org/spreadsheetml/2006/main" count="219" uniqueCount="198">
  <si>
    <r>
      <rPr>
        <b/>
        <sz val="14"/>
        <color rgb="FF000000"/>
        <rFont val="Times New Roman"/>
        <charset val="134"/>
      </rPr>
      <t>PRICELIST</t>
    </r>
    <r>
      <rPr>
        <sz val="14"/>
        <color rgb="FF000000"/>
        <rFont val="Times New Roman"/>
        <charset val="134"/>
      </rPr>
      <t xml:space="preserve">    </t>
    </r>
    <r>
      <rPr>
        <b/>
        <sz val="14"/>
        <color rgb="FF000000"/>
        <rFont val="Times New Roman"/>
        <charset val="134"/>
      </rPr>
      <t>KITCHEN</t>
    </r>
    <r>
      <rPr>
        <sz val="14"/>
        <color rgb="FF000000"/>
        <rFont val="Times New Roman"/>
        <charset val="134"/>
      </rPr>
      <t xml:space="preserve">    </t>
    </r>
    <r>
      <rPr>
        <b/>
        <sz val="14"/>
        <color rgb="FF000000"/>
        <rFont val="Times New Roman"/>
        <charset val="134"/>
      </rPr>
      <t>EQUIPMENT</t>
    </r>
    <r>
      <rPr>
        <sz val="14"/>
        <color rgb="FF000000"/>
        <rFont val="Times New Roman"/>
        <charset val="134"/>
      </rPr>
      <t xml:space="preserve">    </t>
    </r>
    <r>
      <rPr>
        <b/>
        <sz val="14"/>
        <color rgb="FF000000"/>
        <rFont val="Times New Roman"/>
        <charset val="134"/>
      </rPr>
      <t>PT</t>
    </r>
    <r>
      <rPr>
        <sz val="14"/>
        <color rgb="FF000000"/>
        <rFont val="Times New Roman"/>
        <charset val="134"/>
      </rPr>
      <t xml:space="preserve">    </t>
    </r>
    <r>
      <rPr>
        <b/>
        <sz val="14"/>
        <color rgb="FF000000"/>
        <rFont val="Times New Roman"/>
        <charset val="134"/>
      </rPr>
      <t>EDO</t>
    </r>
    <r>
      <rPr>
        <sz val="14"/>
        <color rgb="FF000000"/>
        <rFont val="Times New Roman"/>
        <charset val="134"/>
      </rPr>
      <t xml:space="preserve">    </t>
    </r>
    <r>
      <rPr>
        <b/>
        <sz val="14"/>
        <color rgb="FF000000"/>
        <rFont val="Times New Roman"/>
        <charset val="134"/>
      </rPr>
      <t>MANDIRI</t>
    </r>
    <r>
      <rPr>
        <sz val="14"/>
        <color rgb="FF000000"/>
        <rFont val="Times New Roman"/>
        <charset val="134"/>
      </rPr>
      <t xml:space="preserve">    </t>
    </r>
    <r>
      <rPr>
        <b/>
        <sz val="14"/>
        <color rgb="FF000000"/>
        <rFont val="Times New Roman"/>
        <charset val="134"/>
      </rPr>
      <t>PRATAMA</t>
    </r>
  </si>
  <si>
    <t>AREA</t>
  </si>
  <si>
    <t>ALAT</t>
  </si>
  <si>
    <t>Dimensi(mm)</t>
  </si>
  <si>
    <t>HARGA</t>
  </si>
  <si>
    <t>QTY</t>
  </si>
  <si>
    <t>JUMLAH</t>
  </si>
  <si>
    <t>AREA DATANG BARANG</t>
  </si>
  <si>
    <t>Timbangan 150kg</t>
  </si>
  <si>
    <t>400x500 mm</t>
  </si>
  <si>
    <t>Loading Trolley</t>
  </si>
  <si>
    <t>450x725x920</t>
  </si>
  <si>
    <r>
      <t xml:space="preserve">Transit Table </t>
    </r>
    <r>
      <rPr>
        <b/>
        <sz val="11"/>
        <color rgb="FF000000"/>
        <rFont val="Times New Roman"/>
        <charset val="134"/>
      </rPr>
      <t>Backsplash</t>
    </r>
  </si>
  <si>
    <t>1500x600x850</t>
  </si>
  <si>
    <r>
      <t xml:space="preserve">Single Sink </t>
    </r>
    <r>
      <rPr>
        <b/>
        <sz val="11"/>
        <color rgb="FF000000"/>
        <rFont val="Times New Roman"/>
        <charset val="134"/>
      </rPr>
      <t>Knockdown</t>
    </r>
  </si>
  <si>
    <t>600x600x800</t>
  </si>
  <si>
    <t>AREA CUCI OMPRENG</t>
  </si>
  <si>
    <r>
      <t xml:space="preserve">Triple Sink </t>
    </r>
    <r>
      <rPr>
        <b/>
        <sz val="11"/>
        <color rgb="FF000000"/>
        <rFont val="Times New Roman"/>
        <charset val="134"/>
      </rPr>
      <t>Knockdown</t>
    </r>
  </si>
  <si>
    <t>1200x600x800</t>
  </si>
  <si>
    <r>
      <t xml:space="preserve">Long Sink </t>
    </r>
    <r>
      <rPr>
        <b/>
        <sz val="11"/>
        <color rgb="FF000000"/>
        <rFont val="Times New Roman"/>
        <charset val="134"/>
      </rPr>
      <t>Knockdown</t>
    </r>
  </si>
  <si>
    <t>1700x600x800</t>
  </si>
  <si>
    <t>Grease Trap</t>
  </si>
  <si>
    <t>500x300x300</t>
  </si>
  <si>
    <t>Pengering 210 Tray</t>
  </si>
  <si>
    <t>LISTRIK</t>
  </si>
  <si>
    <t>Water Heater 30L</t>
  </si>
  <si>
    <t>ARISTON</t>
  </si>
  <si>
    <r>
      <t xml:space="preserve">Rak Tiris 4 Susun </t>
    </r>
    <r>
      <rPr>
        <b/>
        <sz val="11"/>
        <color rgb="FF000000"/>
        <rFont val="Times New Roman"/>
        <charset val="134"/>
      </rPr>
      <t>Knockdown</t>
    </r>
  </si>
  <si>
    <t>1500x500x1550</t>
  </si>
  <si>
    <t>GUDANG KERING &amp; ALAT</t>
  </si>
  <si>
    <r>
      <t xml:space="preserve">Solid Rak 4 Susun </t>
    </r>
    <r>
      <rPr>
        <b/>
        <sz val="11"/>
        <color rgb="FF000000"/>
        <rFont val="Times New Roman"/>
        <charset val="134"/>
      </rPr>
      <t>Knockdown</t>
    </r>
  </si>
  <si>
    <t>Palet Plastik</t>
  </si>
  <si>
    <t>100x100x15</t>
  </si>
  <si>
    <t>AREA GUDANG BASAH</t>
  </si>
  <si>
    <t>Chest Frezeer</t>
  </si>
  <si>
    <t>500 L</t>
  </si>
  <si>
    <t>Showcase 2 Pintu</t>
  </si>
  <si>
    <t>1400x600x2000</t>
  </si>
  <si>
    <r>
      <t xml:space="preserve">Solid Rack 4 Tier </t>
    </r>
    <r>
      <rPr>
        <b/>
        <sz val="11"/>
        <color rgb="FF000000"/>
        <rFont val="Times New Roman"/>
        <charset val="134"/>
      </rPr>
      <t>Knockdown</t>
    </r>
  </si>
  <si>
    <t>AREA MASAK</t>
  </si>
  <si>
    <t>Rice Steamer 12 tray</t>
  </si>
  <si>
    <t>720x650x1650</t>
  </si>
  <si>
    <t>Gas Stock Pot High Pressure</t>
  </si>
  <si>
    <t>600x600x500</t>
  </si>
  <si>
    <t>Gas Stock Pot Low Pressure</t>
  </si>
  <si>
    <t>500x500x760</t>
  </si>
  <si>
    <t>Kwali Range Single</t>
  </si>
  <si>
    <t>485x600x800</t>
  </si>
  <si>
    <t>Kwali Range Double w/ Blower</t>
  </si>
  <si>
    <r>
      <rPr>
        <sz val="11"/>
        <color theme="1"/>
        <rFont val="Times New Roman"/>
        <charset val="134"/>
      </rPr>
      <t>1300x800 x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800/1150</t>
    </r>
  </si>
  <si>
    <t>Gastronom</t>
  </si>
  <si>
    <t>380x550x1750</t>
  </si>
  <si>
    <r>
      <t xml:space="preserve">Double Sink </t>
    </r>
    <r>
      <rPr>
        <b/>
        <sz val="11"/>
        <color rgb="FF000000"/>
        <rFont val="Times New Roman"/>
        <charset val="134"/>
      </rPr>
      <t>Knockdown</t>
    </r>
  </si>
  <si>
    <t>AREA PERSIAPAN</t>
  </si>
  <si>
    <t>Service Trolley 3 Tiers</t>
  </si>
  <si>
    <t>805x460x905</t>
  </si>
  <si>
    <t>Service Trolley 2 Tier</t>
  </si>
  <si>
    <t>805x460x900</t>
  </si>
  <si>
    <r>
      <t xml:space="preserve">Working Table </t>
    </r>
    <r>
      <rPr>
        <b/>
        <sz val="11"/>
        <color rgb="FF000000"/>
        <rFont val="Times New Roman"/>
        <charset val="134"/>
      </rPr>
      <t>Knockdown</t>
    </r>
  </si>
  <si>
    <t>2000x800x800</t>
  </si>
  <si>
    <t>Food Tray Stainless</t>
  </si>
  <si>
    <t>Tinggi 6cm</t>
  </si>
  <si>
    <t>AREA PEMORSIAN</t>
  </si>
  <si>
    <r>
      <t xml:space="preserve">Meja Pemorsian </t>
    </r>
    <r>
      <rPr>
        <b/>
        <sz val="11"/>
        <color rgb="FF000000"/>
        <rFont val="Times New Roman"/>
        <charset val="134"/>
      </rPr>
      <t>Knockdown</t>
    </r>
  </si>
  <si>
    <t>Meja Rail Pemorsian</t>
  </si>
  <si>
    <t>3000x1300x800</t>
  </si>
  <si>
    <t>PELENGKAP DAPUR</t>
  </si>
  <si>
    <t>Talenan Kayu</t>
  </si>
  <si>
    <t>42x29,5x26</t>
  </si>
  <si>
    <t>Talenan Daging</t>
  </si>
  <si>
    <t>45cm</t>
  </si>
  <si>
    <t>Cadangan Tray</t>
  </si>
  <si>
    <t>50x30x7cm</t>
  </si>
  <si>
    <t>Pisau Daging sus 304</t>
  </si>
  <si>
    <t>30x17x8cm</t>
  </si>
  <si>
    <t>Pisau Buah sus 304</t>
  </si>
  <si>
    <t>24cm</t>
  </si>
  <si>
    <t>Pisau Sayur sus 304</t>
  </si>
  <si>
    <t>33x21x4,5cm</t>
  </si>
  <si>
    <t>Manual Peeler Stainless</t>
  </si>
  <si>
    <t>Panci (Stock Pot)</t>
  </si>
  <si>
    <t>44,5x34</t>
  </si>
  <si>
    <t>Kukusan (Steamer) 3 Tingkat</t>
  </si>
  <si>
    <t>55,5x 55,5x 48cm</t>
  </si>
  <si>
    <t>Presto 12 Liter</t>
  </si>
  <si>
    <t>45 x 34 x 32 cm</t>
  </si>
  <si>
    <t>Spatula</t>
  </si>
  <si>
    <t>Gayung Stainless</t>
  </si>
  <si>
    <t>Wajan Besar 80cm</t>
  </si>
  <si>
    <t>Wajan Besar 60cm</t>
  </si>
  <si>
    <t>Wajan Besar 55cm</t>
  </si>
  <si>
    <t xml:space="preserve">Food Pan </t>
  </si>
  <si>
    <t>52x32x15 cm</t>
  </si>
  <si>
    <t>Lainnya</t>
  </si>
  <si>
    <t>Topi masak</t>
  </si>
  <si>
    <t>Isi 50 pcs</t>
  </si>
  <si>
    <t>Apron</t>
  </si>
  <si>
    <t>All size</t>
  </si>
  <si>
    <t>Baju</t>
  </si>
  <si>
    <t>Sendal Dapur</t>
  </si>
  <si>
    <t>All Size</t>
  </si>
  <si>
    <t>Masker</t>
  </si>
  <si>
    <t>BONUS</t>
  </si>
  <si>
    <t>Hand Gloves plastik isi 100</t>
  </si>
  <si>
    <t>Sabun Cuci Piring Food Grade</t>
  </si>
  <si>
    <t>Sponge</t>
  </si>
  <si>
    <t>Tempat Sampah 70 Liter</t>
  </si>
  <si>
    <t>Tempat Sampah 100 Liter</t>
  </si>
  <si>
    <t>Rak Sepatu Karyawan Stainless</t>
  </si>
  <si>
    <t>Loker Karyawan 24 Pintu</t>
  </si>
  <si>
    <t>Total</t>
  </si>
  <si>
    <t>REQUEST TAMBAHAN</t>
  </si>
  <si>
    <t>PAKET PREMIUM LENGKAP</t>
  </si>
  <si>
    <t>SATUAN</t>
  </si>
  <si>
    <t>TOTAL PRICE</t>
  </si>
  <si>
    <t>Mesin Potong Sayur</t>
  </si>
  <si>
    <t>Blender 2 liter</t>
  </si>
  <si>
    <t>Timbangan 40kg</t>
  </si>
  <si>
    <t>Baskom Solid Stainless</t>
  </si>
  <si>
    <t>80cm</t>
  </si>
  <si>
    <t>Baskom Sungku Lubang</t>
  </si>
  <si>
    <t>70cm</t>
  </si>
  <si>
    <t>Asahan Pisau</t>
  </si>
  <si>
    <t>Sendok Nasi Stainless</t>
  </si>
  <si>
    <t>APAR Powder 3 Kg</t>
  </si>
  <si>
    <t>P3K dan isinya</t>
  </si>
  <si>
    <t>Insect Killer</t>
  </si>
  <si>
    <t>Alat Ukur Suhu Ruangan</t>
  </si>
  <si>
    <t>Gantungan Pakaian</t>
  </si>
  <si>
    <t>Kursi Plastik Senderan Kecil</t>
  </si>
  <si>
    <t>Kursi Plastik Tinggi</t>
  </si>
  <si>
    <t>Dispenser</t>
  </si>
  <si>
    <t>Serok Biasa 34</t>
  </si>
  <si>
    <t>Serok Biasa 26</t>
  </si>
  <si>
    <t>Serok Stainless 32</t>
  </si>
  <si>
    <t>Pencapit Makanan</t>
  </si>
  <si>
    <t>Keset</t>
  </si>
  <si>
    <t>Jerigen 30 L</t>
  </si>
  <si>
    <t>Kipas Angin Dinding</t>
  </si>
  <si>
    <t>Bakul Nasi 55 cm</t>
  </si>
  <si>
    <t>Pemantik Api</t>
  </si>
  <si>
    <t>ember besar 48 cm</t>
  </si>
  <si>
    <t>keranjang buah besar</t>
  </si>
  <si>
    <t>keranjang sayur besar</t>
  </si>
  <si>
    <t>Alat Pel</t>
  </si>
  <si>
    <t>Sapu Pengki</t>
  </si>
  <si>
    <t>Cetakan Nasi</t>
  </si>
  <si>
    <t>Grand Total</t>
  </si>
  <si>
    <t>Nama</t>
  </si>
  <si>
    <t>qty</t>
  </si>
  <si>
    <t>Kompor</t>
  </si>
  <si>
    <t>Blender 6 lt</t>
  </si>
  <si>
    <t>Choper 6 lt</t>
  </si>
  <si>
    <t>Timbangan 20 kg</t>
  </si>
  <si>
    <t>Baskom stainless</t>
  </si>
  <si>
    <t>Mangkok besar</t>
  </si>
  <si>
    <t xml:space="preserve">Mangkok kecil </t>
  </si>
  <si>
    <t>katel 93 cm</t>
  </si>
  <si>
    <t>katel 56  cm</t>
  </si>
  <si>
    <t>katel 59 cm</t>
  </si>
  <si>
    <t>katel 83 cm</t>
  </si>
  <si>
    <t>katel 52 cm</t>
  </si>
  <si>
    <t>dandang 50 lt</t>
  </si>
  <si>
    <t>asahan pisau</t>
  </si>
  <si>
    <t>centong nasi</t>
  </si>
  <si>
    <t>APAR</t>
  </si>
  <si>
    <t>insect killer</t>
  </si>
  <si>
    <t>alat ukur suhu ruangan</t>
  </si>
  <si>
    <t>stand hanger stainless besar</t>
  </si>
  <si>
    <t>kursi plastik senderan kecil</t>
  </si>
  <si>
    <t>kursi plastik tinggi</t>
  </si>
  <si>
    <t>rak 150 kg stainless 4 susun p=100 l=45 t=150</t>
  </si>
  <si>
    <t>rak 250 kg 5 susun p=100 l=45 t=150</t>
  </si>
  <si>
    <t>keranjang</t>
  </si>
  <si>
    <t>dispenser</t>
  </si>
  <si>
    <t>Baskom 50 l</t>
  </si>
  <si>
    <t>serok 36 cm</t>
  </si>
  <si>
    <t>serok 34 cm</t>
  </si>
  <si>
    <t>serok 32 cm</t>
  </si>
  <si>
    <t>serok 26 cm</t>
  </si>
  <si>
    <t>gelas takar</t>
  </si>
  <si>
    <t>pencapit makanan</t>
  </si>
  <si>
    <t>sodet sedang</t>
  </si>
  <si>
    <t xml:space="preserve">sodet jumbo </t>
  </si>
  <si>
    <t>keset</t>
  </si>
  <si>
    <t>jerigen 30 L</t>
  </si>
  <si>
    <t>kipas angin dinding</t>
  </si>
  <si>
    <t>kipas angin berdiri 20 inch</t>
  </si>
  <si>
    <t>mangkok 17 cm</t>
  </si>
  <si>
    <t>piring</t>
  </si>
  <si>
    <t>bakul 55 cm</t>
  </si>
  <si>
    <t xml:space="preserve">Pemantik api </t>
  </si>
  <si>
    <t>ember kecil 32 cm</t>
  </si>
  <si>
    <t xml:space="preserve">keranjang buah besar </t>
  </si>
  <si>
    <t>sepatu slop/sandal anti slip</t>
  </si>
  <si>
    <t>alat pel</t>
  </si>
  <si>
    <t>sapu pengki</t>
  </si>
  <si>
    <t>takaran nasi/cetakan nasi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</si>
</sst>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Times New Roman"/>
      <charset val="134"/>
    </font>
    <font>
      <sz val="14"/>
      <color rgb="FF000000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5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9" fontId="3" fillId="4" borderId="1" xfId="5" applyFont="1" applyFill="1" applyBorder="1" applyAlignment="1">
      <alignment horizontal="center" vertical="center" wrapText="1"/>
    </xf>
    <xf numFmtId="179" fontId="3" fillId="4" borderId="1" xfId="5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79" fontId="4" fillId="5" borderId="1" xfId="5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179" fontId="5" fillId="0" borderId="1" xfId="5" applyFont="1" applyBorder="1" applyAlignment="1">
      <alignment horizontal="justify" vertical="top" wrapText="1"/>
    </xf>
    <xf numFmtId="0" fontId="5" fillId="0" borderId="1" xfId="0" applyFont="1" applyBorder="1" applyAlignment="1">
      <alignment horizontal="center" vertical="center" wrapText="1"/>
    </xf>
    <xf numFmtId="179" fontId="5" fillId="0" borderId="1" xfId="5" applyFont="1" applyBorder="1" applyAlignment="1">
      <alignment horizontal="justify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79" fontId="5" fillId="0" borderId="1" xfId="5" applyFont="1" applyFill="1" applyBorder="1" applyAlignment="1">
      <alignment horizontal="justify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179" fontId="5" fillId="0" borderId="1" xfId="5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179" fontId="5" fillId="0" borderId="1" xfId="5" applyFont="1" applyBorder="1" applyAlignment="1">
      <alignment vertical="center" wrapText="1"/>
    </xf>
    <xf numFmtId="179" fontId="5" fillId="0" borderId="1" xfId="5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79" fontId="5" fillId="0" borderId="1" xfId="5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top" wrapText="1"/>
    </xf>
    <xf numFmtId="179" fontId="5" fillId="0" borderId="2" xfId="5" applyFont="1" applyFill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right" vertical="center" wrapText="1"/>
    </xf>
    <xf numFmtId="0" fontId="6" fillId="5" borderId="7" xfId="0" applyFont="1" applyFill="1" applyBorder="1" applyAlignment="1">
      <alignment horizontal="right" vertical="center" wrapText="1"/>
    </xf>
    <xf numFmtId="179" fontId="6" fillId="5" borderId="1" xfId="5" applyFont="1" applyFill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9" fontId="7" fillId="0" borderId="9" xfId="5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79" fontId="4" fillId="6" borderId="1" xfId="5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9" fontId="0" fillId="0" borderId="1" xfId="5" applyBorder="1">
      <alignment vertical="center"/>
    </xf>
    <xf numFmtId="179" fontId="1" fillId="0" borderId="1" xfId="0" applyNumberFormat="1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9" fontId="8" fillId="7" borderId="1" xfId="5" applyFont="1" applyFill="1" applyBorder="1" applyAlignment="1">
      <alignment horizontal="center" vertical="center"/>
    </xf>
    <xf numFmtId="179" fontId="8" fillId="7" borderId="1" xfId="5" applyFont="1" applyFill="1" applyBorder="1" applyAlignment="1">
      <alignment horizontal="right" vertical="center"/>
    </xf>
    <xf numFmtId="179" fontId="8" fillId="7" borderId="1" xfId="0" applyNumberFormat="1" applyFont="1" applyFill="1" applyBorder="1" applyAlignment="1">
      <alignment vertical="center"/>
    </xf>
    <xf numFmtId="179" fontId="8" fillId="8" borderId="1" xfId="5" applyFont="1" applyFill="1" applyBorder="1" applyAlignment="1">
      <alignment horizontal="center" vertical="center"/>
    </xf>
    <xf numFmtId="179" fontId="8" fillId="8" borderId="1" xfId="5" applyFont="1" applyFill="1" applyBorder="1" applyAlignment="1">
      <alignment horizontal="right" vertical="center"/>
    </xf>
    <xf numFmtId="179" fontId="8" fillId="8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179" fontId="8" fillId="0" borderId="0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zoomScale="89" zoomScaleNormal="89" topLeftCell="A25" workbookViewId="0">
      <selection activeCell="F49" sqref="F49:F52"/>
    </sheetView>
  </sheetViews>
  <sheetFormatPr defaultColWidth="8.70796460176991" defaultRowHeight="14.25" outlineLevelCol="6"/>
  <cols>
    <col min="1" max="1" width="26.1327433628319" style="8" customWidth="1"/>
    <col min="2" max="2" width="31.9115044247788" customWidth="1"/>
    <col min="3" max="3" width="20.1150442477876" style="8" customWidth="1"/>
    <col min="4" max="4" width="17.4247787610619" style="9" customWidth="1"/>
    <col min="5" max="5" width="7.57522123893805" style="10" customWidth="1"/>
    <col min="6" max="6" width="19.787610619469" customWidth="1"/>
    <col min="7" max="7" width="15.3628318584071"/>
  </cols>
  <sheetData>
    <row r="1" ht="17.25" spans="1:6">
      <c r="A1" s="11" t="s">
        <v>0</v>
      </c>
      <c r="B1" s="11"/>
      <c r="C1" s="11"/>
      <c r="D1" s="12"/>
      <c r="E1" s="11"/>
      <c r="F1" s="13"/>
    </row>
    <row r="2" ht="40.5" customHeight="1" spans="1:6">
      <c r="A2" s="14" t="s">
        <v>1</v>
      </c>
      <c r="B2" s="15" t="s">
        <v>2</v>
      </c>
      <c r="C2" s="15" t="s">
        <v>3</v>
      </c>
      <c r="D2" s="16" t="s">
        <v>4</v>
      </c>
      <c r="E2" s="15" t="s">
        <v>5</v>
      </c>
      <c r="F2" s="16" t="s">
        <v>6</v>
      </c>
    </row>
    <row r="3" spans="1:6">
      <c r="A3" s="17" t="s">
        <v>7</v>
      </c>
      <c r="B3" s="18" t="s">
        <v>8</v>
      </c>
      <c r="C3" s="19" t="s">
        <v>9</v>
      </c>
      <c r="D3" s="20">
        <v>900000</v>
      </c>
      <c r="E3" s="21">
        <v>1</v>
      </c>
      <c r="F3" s="22">
        <f>D3*E3</f>
        <v>900000</v>
      </c>
    </row>
    <row r="4" spans="1:6">
      <c r="A4" s="23"/>
      <c r="B4" s="24" t="s">
        <v>10</v>
      </c>
      <c r="C4" s="25" t="s">
        <v>11</v>
      </c>
      <c r="D4" s="26">
        <v>2500000</v>
      </c>
      <c r="E4" s="27">
        <v>2</v>
      </c>
      <c r="F4" s="22">
        <f t="shared" ref="F4:F49" si="0">D4*E4</f>
        <v>5000000</v>
      </c>
    </row>
    <row r="5" spans="1:6">
      <c r="A5" s="23"/>
      <c r="B5" s="18" t="s">
        <v>12</v>
      </c>
      <c r="C5" s="28" t="s">
        <v>13</v>
      </c>
      <c r="D5" s="20">
        <v>3200000</v>
      </c>
      <c r="E5" s="21">
        <v>1</v>
      </c>
      <c r="F5" s="22">
        <f t="shared" si="0"/>
        <v>3200000</v>
      </c>
    </row>
    <row r="6" spans="1:6">
      <c r="A6" s="23"/>
      <c r="B6" s="24" t="s">
        <v>14</v>
      </c>
      <c r="C6" s="25" t="s">
        <v>15</v>
      </c>
      <c r="D6" s="26">
        <v>2400000</v>
      </c>
      <c r="E6" s="27">
        <v>1</v>
      </c>
      <c r="F6" s="22">
        <f t="shared" si="0"/>
        <v>2400000</v>
      </c>
    </row>
    <row r="7" spans="1:6">
      <c r="A7" s="29" t="s">
        <v>16</v>
      </c>
      <c r="B7" s="24" t="s">
        <v>17</v>
      </c>
      <c r="C7" s="30" t="s">
        <v>18</v>
      </c>
      <c r="D7" s="26">
        <v>4000000</v>
      </c>
      <c r="E7" s="27">
        <v>2</v>
      </c>
      <c r="F7" s="22">
        <f t="shared" si="0"/>
        <v>8000000</v>
      </c>
    </row>
    <row r="8" spans="1:6">
      <c r="A8" s="31"/>
      <c r="B8" s="24" t="s">
        <v>19</v>
      </c>
      <c r="C8" s="30" t="s">
        <v>20</v>
      </c>
      <c r="D8" s="26">
        <v>4000000</v>
      </c>
      <c r="E8" s="27">
        <v>2</v>
      </c>
      <c r="F8" s="22">
        <f t="shared" si="0"/>
        <v>8000000</v>
      </c>
    </row>
    <row r="9" spans="1:6">
      <c r="A9" s="31"/>
      <c r="B9" s="18" t="s">
        <v>21</v>
      </c>
      <c r="C9" s="28" t="s">
        <v>22</v>
      </c>
      <c r="D9" s="20">
        <v>1300000</v>
      </c>
      <c r="E9" s="21">
        <v>2</v>
      </c>
      <c r="F9" s="22">
        <f t="shared" si="0"/>
        <v>2600000</v>
      </c>
    </row>
    <row r="10" spans="1:6">
      <c r="A10" s="31"/>
      <c r="B10" s="18" t="s">
        <v>23</v>
      </c>
      <c r="C10" s="32" t="s">
        <v>24</v>
      </c>
      <c r="D10" s="20">
        <v>11000000</v>
      </c>
      <c r="E10" s="21">
        <v>1</v>
      </c>
      <c r="F10" s="22">
        <f t="shared" si="0"/>
        <v>11000000</v>
      </c>
    </row>
    <row r="11" spans="1:6">
      <c r="A11" s="31"/>
      <c r="B11" s="18" t="s">
        <v>25</v>
      </c>
      <c r="C11" s="32" t="s">
        <v>26</v>
      </c>
      <c r="D11" s="20">
        <v>4500000</v>
      </c>
      <c r="E11" s="21">
        <v>1</v>
      </c>
      <c r="F11" s="22">
        <f t="shared" si="0"/>
        <v>4500000</v>
      </c>
    </row>
    <row r="12" spans="1:6">
      <c r="A12" s="31"/>
      <c r="B12" s="18" t="s">
        <v>27</v>
      </c>
      <c r="C12" s="28" t="s">
        <v>28</v>
      </c>
      <c r="D12" s="20">
        <v>3200000</v>
      </c>
      <c r="E12" s="21">
        <v>2</v>
      </c>
      <c r="F12" s="22">
        <f t="shared" si="0"/>
        <v>6400000</v>
      </c>
    </row>
    <row r="13" spans="1:6">
      <c r="A13" s="17" t="s">
        <v>29</v>
      </c>
      <c r="B13" s="18" t="s">
        <v>30</v>
      </c>
      <c r="C13" s="28" t="s">
        <v>28</v>
      </c>
      <c r="D13" s="20">
        <v>3000000</v>
      </c>
      <c r="E13" s="21">
        <v>4</v>
      </c>
      <c r="F13" s="22">
        <f t="shared" si="0"/>
        <v>12000000</v>
      </c>
    </row>
    <row r="14" spans="1:6">
      <c r="A14" s="23"/>
      <c r="B14" s="18" t="s">
        <v>31</v>
      </c>
      <c r="C14" s="32" t="s">
        <v>32</v>
      </c>
      <c r="D14" s="20">
        <v>380000</v>
      </c>
      <c r="E14" s="21">
        <v>4</v>
      </c>
      <c r="F14" s="22">
        <f t="shared" si="0"/>
        <v>1520000</v>
      </c>
    </row>
    <row r="15" spans="1:6">
      <c r="A15" s="17" t="s">
        <v>33</v>
      </c>
      <c r="B15" s="18" t="s">
        <v>34</v>
      </c>
      <c r="C15" s="32" t="s">
        <v>35</v>
      </c>
      <c r="D15" s="20">
        <v>9000000</v>
      </c>
      <c r="E15" s="21">
        <v>1</v>
      </c>
      <c r="F15" s="22">
        <f t="shared" si="0"/>
        <v>9000000</v>
      </c>
    </row>
    <row r="16" spans="1:6">
      <c r="A16" s="23"/>
      <c r="B16" s="18" t="s">
        <v>36</v>
      </c>
      <c r="C16" s="28" t="s">
        <v>37</v>
      </c>
      <c r="D16" s="20">
        <v>10500000</v>
      </c>
      <c r="E16" s="21">
        <v>1</v>
      </c>
      <c r="F16" s="22">
        <f t="shared" si="0"/>
        <v>10500000</v>
      </c>
    </row>
    <row r="17" spans="1:6">
      <c r="A17" s="23"/>
      <c r="B17" s="18" t="s">
        <v>38</v>
      </c>
      <c r="C17" s="28" t="s">
        <v>28</v>
      </c>
      <c r="D17" s="20">
        <v>3000000</v>
      </c>
      <c r="E17" s="21">
        <v>4</v>
      </c>
      <c r="F17" s="22">
        <f t="shared" si="0"/>
        <v>12000000</v>
      </c>
    </row>
    <row r="18" spans="1:6">
      <c r="A18" s="29" t="s">
        <v>39</v>
      </c>
      <c r="B18" s="18" t="s">
        <v>40</v>
      </c>
      <c r="C18" s="32" t="s">
        <v>41</v>
      </c>
      <c r="D18" s="20">
        <v>9500000</v>
      </c>
      <c r="E18" s="21">
        <v>3</v>
      </c>
      <c r="F18" s="22">
        <f t="shared" si="0"/>
        <v>28500000</v>
      </c>
    </row>
    <row r="19" spans="1:6">
      <c r="A19" s="31"/>
      <c r="B19" s="33" t="s">
        <v>42</v>
      </c>
      <c r="C19" s="28" t="s">
        <v>43</v>
      </c>
      <c r="D19" s="22">
        <v>3200000</v>
      </c>
      <c r="E19" s="21">
        <v>3</v>
      </c>
      <c r="F19" s="22">
        <f t="shared" si="0"/>
        <v>9600000</v>
      </c>
    </row>
    <row r="20" spans="1:6">
      <c r="A20" s="31"/>
      <c r="B20" s="18" t="s">
        <v>44</v>
      </c>
      <c r="C20" s="28" t="s">
        <v>45</v>
      </c>
      <c r="D20" s="22">
        <v>2500000</v>
      </c>
      <c r="E20" s="21">
        <v>2</v>
      </c>
      <c r="F20" s="22">
        <f t="shared" si="0"/>
        <v>5000000</v>
      </c>
    </row>
    <row r="21" spans="1:6">
      <c r="A21" s="31"/>
      <c r="B21" s="18" t="s">
        <v>46</v>
      </c>
      <c r="C21" s="28" t="s">
        <v>47</v>
      </c>
      <c r="D21" s="22">
        <v>2800000</v>
      </c>
      <c r="E21" s="21">
        <v>1</v>
      </c>
      <c r="F21" s="22">
        <f t="shared" si="0"/>
        <v>2800000</v>
      </c>
    </row>
    <row r="22" spans="1:6">
      <c r="A22" s="31"/>
      <c r="B22" s="18" t="s">
        <v>48</v>
      </c>
      <c r="C22" s="28" t="s">
        <v>49</v>
      </c>
      <c r="D22" s="34">
        <v>8500000</v>
      </c>
      <c r="E22" s="21">
        <v>1</v>
      </c>
      <c r="F22" s="22">
        <f t="shared" si="0"/>
        <v>8500000</v>
      </c>
    </row>
    <row r="23" spans="1:6">
      <c r="A23" s="31"/>
      <c r="B23" s="18" t="s">
        <v>12</v>
      </c>
      <c r="C23" s="28" t="s">
        <v>13</v>
      </c>
      <c r="D23" s="20">
        <v>3200000</v>
      </c>
      <c r="E23" s="21">
        <v>2</v>
      </c>
      <c r="F23" s="22">
        <f t="shared" si="0"/>
        <v>6400000</v>
      </c>
    </row>
    <row r="24" spans="1:6">
      <c r="A24" s="31"/>
      <c r="B24" s="18" t="s">
        <v>50</v>
      </c>
      <c r="C24" s="28" t="s">
        <v>51</v>
      </c>
      <c r="D24" s="20">
        <v>2300000</v>
      </c>
      <c r="E24" s="21">
        <v>2</v>
      </c>
      <c r="F24" s="22">
        <f t="shared" si="0"/>
        <v>4600000</v>
      </c>
    </row>
    <row r="25" spans="1:6">
      <c r="A25" s="31"/>
      <c r="B25" s="24" t="s">
        <v>52</v>
      </c>
      <c r="C25" s="25" t="s">
        <v>18</v>
      </c>
      <c r="D25" s="26">
        <v>3000000</v>
      </c>
      <c r="E25" s="27">
        <v>1</v>
      </c>
      <c r="F25" s="22">
        <f t="shared" si="0"/>
        <v>3000000</v>
      </c>
    </row>
    <row r="26" spans="1:6">
      <c r="A26" s="29" t="s">
        <v>53</v>
      </c>
      <c r="B26" s="18" t="s">
        <v>54</v>
      </c>
      <c r="C26" s="28" t="s">
        <v>55</v>
      </c>
      <c r="D26" s="20">
        <v>2300000</v>
      </c>
      <c r="E26" s="21">
        <v>2</v>
      </c>
      <c r="F26" s="22">
        <f t="shared" si="0"/>
        <v>4600000</v>
      </c>
    </row>
    <row r="27" spans="1:6">
      <c r="A27" s="31"/>
      <c r="B27" s="18" t="s">
        <v>56</v>
      </c>
      <c r="C27" s="28" t="s">
        <v>57</v>
      </c>
      <c r="D27" s="20">
        <v>2100000</v>
      </c>
      <c r="E27" s="21">
        <v>1</v>
      </c>
      <c r="F27" s="22">
        <f t="shared" si="0"/>
        <v>2100000</v>
      </c>
    </row>
    <row r="28" ht="15.75" customHeight="1" spans="1:6">
      <c r="A28" s="31"/>
      <c r="B28" s="24" t="s">
        <v>58</v>
      </c>
      <c r="C28" s="25" t="s">
        <v>59</v>
      </c>
      <c r="D28" s="26">
        <v>4000000</v>
      </c>
      <c r="E28" s="21">
        <v>4</v>
      </c>
      <c r="F28" s="22">
        <f t="shared" si="0"/>
        <v>16000000</v>
      </c>
    </row>
    <row r="29" spans="1:6">
      <c r="A29" s="35"/>
      <c r="B29" s="18" t="s">
        <v>60</v>
      </c>
      <c r="C29" s="32" t="s">
        <v>61</v>
      </c>
      <c r="D29" s="20">
        <v>35000</v>
      </c>
      <c r="E29" s="21">
        <v>2500</v>
      </c>
      <c r="F29" s="22">
        <f t="shared" si="0"/>
        <v>87500000</v>
      </c>
    </row>
    <row r="30" spans="1:6">
      <c r="A30" s="29" t="s">
        <v>62</v>
      </c>
      <c r="B30" s="24" t="s">
        <v>63</v>
      </c>
      <c r="C30" s="25" t="s">
        <v>59</v>
      </c>
      <c r="D30" s="26">
        <v>4000000</v>
      </c>
      <c r="E30" s="21">
        <v>4</v>
      </c>
      <c r="F30" s="22">
        <f t="shared" si="0"/>
        <v>16000000</v>
      </c>
    </row>
    <row r="31" spans="1:6">
      <c r="A31" s="31"/>
      <c r="B31" s="24" t="s">
        <v>64</v>
      </c>
      <c r="C31" s="25" t="s">
        <v>65</v>
      </c>
      <c r="D31" s="26">
        <v>5000000</v>
      </c>
      <c r="E31" s="21">
        <v>2</v>
      </c>
      <c r="F31" s="22">
        <f t="shared" si="0"/>
        <v>10000000</v>
      </c>
    </row>
    <row r="32" spans="1:6">
      <c r="A32" s="35"/>
      <c r="B32" s="18" t="s">
        <v>38</v>
      </c>
      <c r="C32" s="28" t="s">
        <v>28</v>
      </c>
      <c r="D32" s="20">
        <v>3000000</v>
      </c>
      <c r="E32" s="21">
        <v>2</v>
      </c>
      <c r="F32" s="22">
        <f t="shared" si="0"/>
        <v>6000000</v>
      </c>
    </row>
    <row r="33" spans="1:6">
      <c r="A33" s="17" t="s">
        <v>66</v>
      </c>
      <c r="B33" s="18" t="s">
        <v>67</v>
      </c>
      <c r="C33" s="32" t="s">
        <v>68</v>
      </c>
      <c r="D33" s="20">
        <v>70000</v>
      </c>
      <c r="E33" s="21">
        <v>8</v>
      </c>
      <c r="F33" s="22">
        <f t="shared" si="0"/>
        <v>560000</v>
      </c>
    </row>
    <row r="34" spans="1:6">
      <c r="A34" s="23"/>
      <c r="B34" s="18" t="s">
        <v>69</v>
      </c>
      <c r="C34" s="32" t="s">
        <v>70</v>
      </c>
      <c r="D34" s="20">
        <v>185000</v>
      </c>
      <c r="E34" s="21">
        <v>4</v>
      </c>
      <c r="F34" s="22">
        <f t="shared" si="0"/>
        <v>740000</v>
      </c>
    </row>
    <row r="35" spans="1:6">
      <c r="A35" s="23"/>
      <c r="B35" s="18" t="s">
        <v>71</v>
      </c>
      <c r="C35" s="32" t="s">
        <v>72</v>
      </c>
      <c r="D35" s="20">
        <v>160000</v>
      </c>
      <c r="E35" s="21">
        <v>24</v>
      </c>
      <c r="F35" s="22">
        <f t="shared" si="0"/>
        <v>3840000</v>
      </c>
    </row>
    <row r="36" spans="1:6">
      <c r="A36" s="23"/>
      <c r="B36" s="18" t="s">
        <v>73</v>
      </c>
      <c r="C36" s="32" t="s">
        <v>74</v>
      </c>
      <c r="D36" s="20">
        <v>150000</v>
      </c>
      <c r="E36" s="21">
        <v>5</v>
      </c>
      <c r="F36" s="22">
        <f t="shared" si="0"/>
        <v>750000</v>
      </c>
    </row>
    <row r="37" spans="1:6">
      <c r="A37" s="23"/>
      <c r="B37" s="18" t="s">
        <v>75</v>
      </c>
      <c r="C37" s="32" t="s">
        <v>76</v>
      </c>
      <c r="D37" s="20">
        <v>85000</v>
      </c>
      <c r="E37" s="21">
        <v>5</v>
      </c>
      <c r="F37" s="22">
        <f t="shared" si="0"/>
        <v>425000</v>
      </c>
    </row>
    <row r="38" spans="1:6">
      <c r="A38" s="23"/>
      <c r="B38" s="18" t="s">
        <v>77</v>
      </c>
      <c r="C38" s="32" t="s">
        <v>78</v>
      </c>
      <c r="D38" s="20">
        <v>75000</v>
      </c>
      <c r="E38" s="21">
        <v>5</v>
      </c>
      <c r="F38" s="22">
        <f t="shared" si="0"/>
        <v>375000</v>
      </c>
    </row>
    <row r="39" spans="1:6">
      <c r="A39" s="23"/>
      <c r="B39" s="18" t="s">
        <v>79</v>
      </c>
      <c r="C39" s="32"/>
      <c r="D39" s="20">
        <v>15000</v>
      </c>
      <c r="E39" s="21">
        <v>10</v>
      </c>
      <c r="F39" s="22">
        <f t="shared" si="0"/>
        <v>150000</v>
      </c>
    </row>
    <row r="40" spans="1:6">
      <c r="A40" s="23"/>
      <c r="B40" s="18" t="s">
        <v>80</v>
      </c>
      <c r="C40" s="32" t="s">
        <v>81</v>
      </c>
      <c r="D40" s="20">
        <v>850000</v>
      </c>
      <c r="E40" s="21">
        <v>3</v>
      </c>
      <c r="F40" s="22">
        <f t="shared" si="0"/>
        <v>2550000</v>
      </c>
    </row>
    <row r="41" spans="1:6">
      <c r="A41" s="23"/>
      <c r="B41" s="24" t="s">
        <v>82</v>
      </c>
      <c r="C41" s="30" t="s">
        <v>83</v>
      </c>
      <c r="D41" s="26">
        <v>1000000</v>
      </c>
      <c r="E41" s="27">
        <v>2</v>
      </c>
      <c r="F41" s="22">
        <f t="shared" si="0"/>
        <v>2000000</v>
      </c>
    </row>
    <row r="42" spans="1:6">
      <c r="A42" s="23"/>
      <c r="B42" s="24" t="s">
        <v>84</v>
      </c>
      <c r="C42" s="30" t="s">
        <v>85</v>
      </c>
      <c r="D42" s="26">
        <v>550000</v>
      </c>
      <c r="E42" s="27">
        <v>2</v>
      </c>
      <c r="F42" s="22">
        <f t="shared" si="0"/>
        <v>1100000</v>
      </c>
    </row>
    <row r="43" spans="1:6">
      <c r="A43" s="23"/>
      <c r="B43" s="18" t="s">
        <v>86</v>
      </c>
      <c r="C43" s="32"/>
      <c r="D43" s="20">
        <v>130000</v>
      </c>
      <c r="E43" s="21">
        <v>8</v>
      </c>
      <c r="F43" s="22">
        <f t="shared" si="0"/>
        <v>1040000</v>
      </c>
    </row>
    <row r="44" spans="1:6">
      <c r="A44" s="23"/>
      <c r="B44" s="18" t="s">
        <v>87</v>
      </c>
      <c r="C44" s="32"/>
      <c r="D44" s="20">
        <v>130000</v>
      </c>
      <c r="E44" s="21">
        <v>1</v>
      </c>
      <c r="F44" s="22">
        <f t="shared" si="0"/>
        <v>130000</v>
      </c>
    </row>
    <row r="45" spans="1:6">
      <c r="A45" s="23"/>
      <c r="B45" s="18" t="s">
        <v>88</v>
      </c>
      <c r="C45" s="32"/>
      <c r="D45" s="20">
        <v>650000</v>
      </c>
      <c r="E45" s="21">
        <v>4</v>
      </c>
      <c r="F45" s="22">
        <f t="shared" si="0"/>
        <v>2600000</v>
      </c>
    </row>
    <row r="46" spans="1:6">
      <c r="A46" s="23"/>
      <c r="B46" s="18" t="s">
        <v>89</v>
      </c>
      <c r="C46" s="32"/>
      <c r="D46" s="20">
        <v>550000</v>
      </c>
      <c r="E46" s="21">
        <v>3</v>
      </c>
      <c r="F46" s="22">
        <f t="shared" si="0"/>
        <v>1650000</v>
      </c>
    </row>
    <row r="47" spans="1:6">
      <c r="A47" s="23"/>
      <c r="B47" s="18" t="s">
        <v>90</v>
      </c>
      <c r="C47" s="32"/>
      <c r="D47" s="20">
        <v>425000</v>
      </c>
      <c r="E47" s="21">
        <v>2</v>
      </c>
      <c r="F47" s="22">
        <f t="shared" si="0"/>
        <v>850000</v>
      </c>
    </row>
    <row r="48" spans="1:6">
      <c r="A48" s="23"/>
      <c r="B48" s="18" t="s">
        <v>91</v>
      </c>
      <c r="C48" s="32" t="s">
        <v>92</v>
      </c>
      <c r="D48" s="20">
        <v>135000</v>
      </c>
      <c r="E48" s="21">
        <v>20</v>
      </c>
      <c r="F48" s="22">
        <f t="shared" si="0"/>
        <v>2700000</v>
      </c>
    </row>
    <row r="49" spans="1:6">
      <c r="A49" s="21" t="s">
        <v>93</v>
      </c>
      <c r="B49" s="18" t="s">
        <v>94</v>
      </c>
      <c r="C49" s="32" t="s">
        <v>95</v>
      </c>
      <c r="D49" s="36">
        <v>185000</v>
      </c>
      <c r="E49" s="29">
        <v>50</v>
      </c>
      <c r="F49" s="37">
        <f t="shared" si="0"/>
        <v>9250000</v>
      </c>
    </row>
    <row r="50" spans="1:6">
      <c r="A50" s="21"/>
      <c r="B50" s="18" t="s">
        <v>96</v>
      </c>
      <c r="C50" s="32" t="s">
        <v>97</v>
      </c>
      <c r="D50" s="36"/>
      <c r="E50" s="31"/>
      <c r="F50" s="37"/>
    </row>
    <row r="51" spans="1:6">
      <c r="A51" s="21"/>
      <c r="B51" s="18" t="s">
        <v>98</v>
      </c>
      <c r="C51" s="32" t="s">
        <v>97</v>
      </c>
      <c r="D51" s="36"/>
      <c r="E51" s="31"/>
      <c r="F51" s="37"/>
    </row>
    <row r="52" spans="1:6">
      <c r="A52" s="21"/>
      <c r="B52" s="18" t="s">
        <v>99</v>
      </c>
      <c r="C52" s="32" t="s">
        <v>100</v>
      </c>
      <c r="D52" s="36"/>
      <c r="E52" s="35"/>
      <c r="F52" s="37"/>
    </row>
    <row r="53" spans="1:6">
      <c r="A53" s="21"/>
      <c r="B53" s="18" t="s">
        <v>101</v>
      </c>
      <c r="C53" s="38">
        <v>5</v>
      </c>
      <c r="D53" s="39" t="s">
        <v>102</v>
      </c>
      <c r="E53" s="29"/>
      <c r="F53" s="22"/>
    </row>
    <row r="54" spans="1:6">
      <c r="A54" s="21"/>
      <c r="B54" s="18" t="s">
        <v>103</v>
      </c>
      <c r="C54" s="40"/>
      <c r="D54" s="39"/>
      <c r="E54" s="31"/>
      <c r="F54" s="22"/>
    </row>
    <row r="55" spans="1:6">
      <c r="A55" s="21"/>
      <c r="B55" s="18" t="s">
        <v>104</v>
      </c>
      <c r="C55" s="40"/>
      <c r="D55" s="39"/>
      <c r="E55" s="31"/>
      <c r="F55" s="22"/>
    </row>
    <row r="56" spans="1:6">
      <c r="A56" s="21"/>
      <c r="B56" s="18" t="s">
        <v>105</v>
      </c>
      <c r="C56" s="41"/>
      <c r="D56" s="39"/>
      <c r="E56" s="35"/>
      <c r="F56" s="22"/>
    </row>
    <row r="57" spans="1:6">
      <c r="A57" s="21"/>
      <c r="B57" s="18" t="s">
        <v>106</v>
      </c>
      <c r="C57" s="32"/>
      <c r="D57" s="20">
        <v>300000</v>
      </c>
      <c r="E57" s="21">
        <v>3</v>
      </c>
      <c r="F57" s="22">
        <f>D57*E57</f>
        <v>900000</v>
      </c>
    </row>
    <row r="58" spans="1:6">
      <c r="A58" s="21"/>
      <c r="B58" s="24" t="s">
        <v>52</v>
      </c>
      <c r="C58" s="25" t="s">
        <v>18</v>
      </c>
      <c r="D58" s="26">
        <v>3000000</v>
      </c>
      <c r="E58" s="27">
        <v>3</v>
      </c>
      <c r="F58" s="22">
        <f>D58*E58</f>
        <v>9000000</v>
      </c>
    </row>
    <row r="59" spans="1:6">
      <c r="A59" s="21"/>
      <c r="B59" s="18" t="s">
        <v>107</v>
      </c>
      <c r="C59" s="32"/>
      <c r="D59" s="20">
        <v>450000</v>
      </c>
      <c r="E59" s="21">
        <v>2</v>
      </c>
      <c r="F59" s="22">
        <f>D59*E59</f>
        <v>900000</v>
      </c>
    </row>
    <row r="60" ht="15" customHeight="1" spans="1:6">
      <c r="A60" s="21"/>
      <c r="B60" s="18" t="s">
        <v>108</v>
      </c>
      <c r="C60" s="32"/>
      <c r="D60" s="20">
        <v>250000</v>
      </c>
      <c r="E60" s="42">
        <v>2</v>
      </c>
      <c r="F60" s="22">
        <f>D60*E60</f>
        <v>500000</v>
      </c>
    </row>
    <row r="61" spans="1:6">
      <c r="A61" s="17"/>
      <c r="B61" s="43" t="s">
        <v>109</v>
      </c>
      <c r="C61" s="44"/>
      <c r="D61" s="45">
        <v>3200000</v>
      </c>
      <c r="E61" s="46">
        <v>2</v>
      </c>
      <c r="F61" s="22">
        <f>D61*E61</f>
        <v>6400000</v>
      </c>
    </row>
    <row r="62" ht="15" spans="1:6">
      <c r="A62" s="47" t="s">
        <v>110</v>
      </c>
      <c r="B62" s="48"/>
      <c r="C62" s="48"/>
      <c r="D62" s="48"/>
      <c r="E62" s="49"/>
      <c r="F62" s="50">
        <f>SUM(F3:F61)</f>
        <v>356030000</v>
      </c>
    </row>
    <row r="64" ht="15" spans="1:6">
      <c r="A64" s="51" t="s">
        <v>111</v>
      </c>
      <c r="B64" s="52"/>
      <c r="C64" s="52"/>
      <c r="D64" s="53"/>
      <c r="E64" s="52"/>
      <c r="F64" s="54"/>
    </row>
    <row r="65" ht="27.6" customHeight="1" spans="1:6">
      <c r="A65" s="55" t="s">
        <v>1</v>
      </c>
      <c r="B65" s="55" t="s">
        <v>2</v>
      </c>
      <c r="C65" s="55" t="s">
        <v>3</v>
      </c>
      <c r="D65" s="56" t="s">
        <v>4</v>
      </c>
      <c r="E65" s="55" t="s">
        <v>112</v>
      </c>
      <c r="F65" s="56"/>
    </row>
    <row r="66" spans="1:6">
      <c r="A66" s="55"/>
      <c r="B66" s="55"/>
      <c r="C66" s="55"/>
      <c r="D66" s="56" t="s">
        <v>113</v>
      </c>
      <c r="E66" s="55" t="s">
        <v>5</v>
      </c>
      <c r="F66" s="56" t="s">
        <v>114</v>
      </c>
    </row>
    <row r="67" spans="1:6">
      <c r="A67" s="57" t="s">
        <v>93</v>
      </c>
      <c r="B67" s="58" t="s">
        <v>115</v>
      </c>
      <c r="C67" s="59"/>
      <c r="D67" s="60">
        <v>5500000</v>
      </c>
      <c r="E67" s="59">
        <v>1</v>
      </c>
      <c r="F67" s="61">
        <f>D67*E67</f>
        <v>5500000</v>
      </c>
    </row>
    <row r="68" spans="1:6">
      <c r="A68" s="62"/>
      <c r="B68" s="58" t="s">
        <v>116</v>
      </c>
      <c r="C68" s="63"/>
      <c r="D68" s="60">
        <v>1200000</v>
      </c>
      <c r="E68" s="59">
        <v>2</v>
      </c>
      <c r="F68" s="61">
        <f t="shared" ref="F68:F97" si="1">D68*E68</f>
        <v>2400000</v>
      </c>
    </row>
    <row r="69" spans="1:6">
      <c r="A69" s="62"/>
      <c r="B69" s="58" t="s">
        <v>117</v>
      </c>
      <c r="C69" s="63"/>
      <c r="D69" s="60">
        <v>350000</v>
      </c>
      <c r="E69" s="59">
        <v>1</v>
      </c>
      <c r="F69" s="61">
        <f t="shared" si="1"/>
        <v>350000</v>
      </c>
    </row>
    <row r="70" spans="1:6">
      <c r="A70" s="62"/>
      <c r="B70" s="58" t="s">
        <v>118</v>
      </c>
      <c r="C70" s="64" t="s">
        <v>119</v>
      </c>
      <c r="D70" s="60">
        <v>150000</v>
      </c>
      <c r="E70" s="59">
        <v>6</v>
      </c>
      <c r="F70" s="61">
        <f t="shared" si="1"/>
        <v>900000</v>
      </c>
    </row>
    <row r="71" spans="1:6">
      <c r="A71" s="62"/>
      <c r="B71" s="58" t="s">
        <v>120</v>
      </c>
      <c r="C71" s="64" t="s">
        <v>121</v>
      </c>
      <c r="D71" s="60">
        <v>185000</v>
      </c>
      <c r="E71" s="59">
        <v>6</v>
      </c>
      <c r="F71" s="61">
        <f t="shared" si="1"/>
        <v>1110000</v>
      </c>
    </row>
    <row r="72" spans="1:6">
      <c r="A72" s="62"/>
      <c r="B72" s="58" t="s">
        <v>122</v>
      </c>
      <c r="C72" s="64"/>
      <c r="D72" s="60">
        <v>500000</v>
      </c>
      <c r="E72" s="59">
        <v>4</v>
      </c>
      <c r="F72" s="61">
        <f t="shared" si="1"/>
        <v>2000000</v>
      </c>
    </row>
    <row r="73" spans="1:6">
      <c r="A73" s="62"/>
      <c r="B73" s="58" t="s">
        <v>123</v>
      </c>
      <c r="C73" s="64"/>
      <c r="D73" s="60">
        <v>25000</v>
      </c>
      <c r="E73" s="59">
        <v>10</v>
      </c>
      <c r="F73" s="61">
        <f t="shared" si="1"/>
        <v>250000</v>
      </c>
    </row>
    <row r="74" spans="1:6">
      <c r="A74" s="62"/>
      <c r="B74" s="58" t="s">
        <v>124</v>
      </c>
      <c r="C74" s="64"/>
      <c r="D74" s="60">
        <v>450000</v>
      </c>
      <c r="E74" s="59">
        <v>3</v>
      </c>
      <c r="F74" s="61">
        <f t="shared" si="1"/>
        <v>1350000</v>
      </c>
    </row>
    <row r="75" spans="1:6">
      <c r="A75" s="62"/>
      <c r="B75" s="58" t="s">
        <v>125</v>
      </c>
      <c r="C75" s="64"/>
      <c r="D75" s="60">
        <v>300000</v>
      </c>
      <c r="E75" s="59">
        <v>1</v>
      </c>
      <c r="F75" s="61">
        <f t="shared" si="1"/>
        <v>300000</v>
      </c>
    </row>
    <row r="76" spans="1:6">
      <c r="A76" s="62"/>
      <c r="B76" s="58" t="s">
        <v>126</v>
      </c>
      <c r="C76" s="64"/>
      <c r="D76" s="60">
        <v>350000</v>
      </c>
      <c r="E76" s="59">
        <v>4</v>
      </c>
      <c r="F76" s="61">
        <f t="shared" si="1"/>
        <v>1400000</v>
      </c>
    </row>
    <row r="77" spans="1:6">
      <c r="A77" s="62"/>
      <c r="B77" s="58" t="s">
        <v>127</v>
      </c>
      <c r="C77" s="64"/>
      <c r="D77" s="60">
        <v>200000</v>
      </c>
      <c r="E77" s="59">
        <v>2</v>
      </c>
      <c r="F77" s="61">
        <f t="shared" si="1"/>
        <v>400000</v>
      </c>
    </row>
    <row r="78" spans="1:6">
      <c r="A78" s="62"/>
      <c r="B78" s="58" t="s">
        <v>128</v>
      </c>
      <c r="C78" s="64"/>
      <c r="D78" s="60">
        <v>175000</v>
      </c>
      <c r="E78" s="59">
        <v>2</v>
      </c>
      <c r="F78" s="61">
        <f t="shared" si="1"/>
        <v>350000</v>
      </c>
    </row>
    <row r="79" spans="1:6">
      <c r="A79" s="62"/>
      <c r="B79" s="58" t="s">
        <v>129</v>
      </c>
      <c r="C79" s="64"/>
      <c r="D79" s="60">
        <v>75000</v>
      </c>
      <c r="E79" s="59">
        <v>12</v>
      </c>
      <c r="F79" s="61">
        <f t="shared" si="1"/>
        <v>900000</v>
      </c>
    </row>
    <row r="80" spans="1:6">
      <c r="A80" s="62"/>
      <c r="B80" s="58" t="s">
        <v>130</v>
      </c>
      <c r="C80" s="64"/>
      <c r="D80" s="60">
        <v>60000</v>
      </c>
      <c r="E80" s="59">
        <v>10</v>
      </c>
      <c r="F80" s="61">
        <f t="shared" si="1"/>
        <v>600000</v>
      </c>
    </row>
    <row r="81" spans="1:6">
      <c r="A81" s="62"/>
      <c r="B81" s="58" t="s">
        <v>131</v>
      </c>
      <c r="C81" s="64"/>
      <c r="D81" s="60">
        <v>1800000</v>
      </c>
      <c r="E81" s="59">
        <v>2</v>
      </c>
      <c r="F81" s="61">
        <f t="shared" si="1"/>
        <v>3600000</v>
      </c>
    </row>
    <row r="82" spans="1:6">
      <c r="A82" s="62"/>
      <c r="B82" s="58" t="s">
        <v>132</v>
      </c>
      <c r="C82" s="65"/>
      <c r="D82" s="60">
        <v>80000</v>
      </c>
      <c r="E82" s="59">
        <v>7</v>
      </c>
      <c r="F82" s="61">
        <f t="shared" si="1"/>
        <v>560000</v>
      </c>
    </row>
    <row r="83" spans="1:6">
      <c r="A83" s="62"/>
      <c r="B83" s="58" t="s">
        <v>133</v>
      </c>
      <c r="C83" s="65"/>
      <c r="D83" s="60">
        <v>60000</v>
      </c>
      <c r="E83" s="59">
        <v>2</v>
      </c>
      <c r="F83" s="61">
        <f t="shared" si="1"/>
        <v>120000</v>
      </c>
    </row>
    <row r="84" spans="1:6">
      <c r="A84" s="62"/>
      <c r="B84" s="58" t="s">
        <v>134</v>
      </c>
      <c r="C84" s="65"/>
      <c r="D84" s="60">
        <v>125000</v>
      </c>
      <c r="E84" s="59">
        <v>2</v>
      </c>
      <c r="F84" s="61">
        <f t="shared" si="1"/>
        <v>250000</v>
      </c>
    </row>
    <row r="85" spans="1:6">
      <c r="A85" s="62"/>
      <c r="B85" s="58" t="s">
        <v>135</v>
      </c>
      <c r="C85" s="64"/>
      <c r="D85" s="60">
        <v>25000</v>
      </c>
      <c r="E85" s="59">
        <v>10</v>
      </c>
      <c r="F85" s="61">
        <f t="shared" si="1"/>
        <v>250000</v>
      </c>
    </row>
    <row r="86" spans="1:6">
      <c r="A86" s="62"/>
      <c r="B86" s="58" t="s">
        <v>136</v>
      </c>
      <c r="C86" s="64"/>
      <c r="D86" s="60">
        <v>50000</v>
      </c>
      <c r="E86" s="59">
        <v>10</v>
      </c>
      <c r="F86" s="61">
        <f t="shared" si="1"/>
        <v>500000</v>
      </c>
    </row>
    <row r="87" spans="1:6">
      <c r="A87" s="62"/>
      <c r="B87" s="58" t="s">
        <v>137</v>
      </c>
      <c r="C87" s="64"/>
      <c r="D87" s="60">
        <v>80000</v>
      </c>
      <c r="E87" s="59">
        <v>10</v>
      </c>
      <c r="F87" s="61">
        <f t="shared" si="1"/>
        <v>800000</v>
      </c>
    </row>
    <row r="88" spans="1:6">
      <c r="A88" s="62"/>
      <c r="B88" s="58" t="s">
        <v>138</v>
      </c>
      <c r="C88" s="64"/>
      <c r="D88" s="60">
        <v>400000</v>
      </c>
      <c r="E88" s="59">
        <v>3</v>
      </c>
      <c r="F88" s="61">
        <f t="shared" si="1"/>
        <v>1200000</v>
      </c>
    </row>
    <row r="89" spans="1:6">
      <c r="A89" s="62"/>
      <c r="B89" s="58" t="s">
        <v>139</v>
      </c>
      <c r="C89" s="64"/>
      <c r="D89" s="60">
        <v>85000</v>
      </c>
      <c r="E89" s="59">
        <v>23</v>
      </c>
      <c r="F89" s="61">
        <f t="shared" si="1"/>
        <v>1955000</v>
      </c>
    </row>
    <row r="90" spans="1:6">
      <c r="A90" s="62"/>
      <c r="B90" s="58" t="s">
        <v>140</v>
      </c>
      <c r="C90" s="64"/>
      <c r="D90" s="60">
        <v>20000</v>
      </c>
      <c r="E90" s="59">
        <v>2</v>
      </c>
      <c r="F90" s="61">
        <f t="shared" si="1"/>
        <v>40000</v>
      </c>
    </row>
    <row r="91" spans="1:6">
      <c r="A91" s="62"/>
      <c r="B91" s="58" t="s">
        <v>141</v>
      </c>
      <c r="C91" s="64"/>
      <c r="D91" s="60">
        <v>80000</v>
      </c>
      <c r="E91" s="59">
        <v>5</v>
      </c>
      <c r="F91" s="61">
        <f t="shared" si="1"/>
        <v>400000</v>
      </c>
    </row>
    <row r="92" spans="1:6">
      <c r="A92" s="62"/>
      <c r="B92" s="58" t="s">
        <v>142</v>
      </c>
      <c r="C92" s="64"/>
      <c r="D92" s="60">
        <v>80000</v>
      </c>
      <c r="E92" s="59">
        <v>10</v>
      </c>
      <c r="F92" s="61">
        <f t="shared" si="1"/>
        <v>800000</v>
      </c>
    </row>
    <row r="93" spans="1:6">
      <c r="A93" s="62"/>
      <c r="B93" s="58" t="s">
        <v>143</v>
      </c>
      <c r="C93" s="64"/>
      <c r="D93" s="60">
        <v>80000</v>
      </c>
      <c r="E93" s="59">
        <v>10</v>
      </c>
      <c r="F93" s="61">
        <f t="shared" si="1"/>
        <v>800000</v>
      </c>
    </row>
    <row r="94" spans="1:6">
      <c r="A94" s="62"/>
      <c r="B94" s="58" t="s">
        <v>144</v>
      </c>
      <c r="C94" s="64"/>
      <c r="D94" s="60">
        <v>225000</v>
      </c>
      <c r="E94" s="59">
        <v>3</v>
      </c>
      <c r="F94" s="61">
        <f t="shared" si="1"/>
        <v>675000</v>
      </c>
    </row>
    <row r="95" spans="1:6">
      <c r="A95" s="62"/>
      <c r="B95" s="58" t="s">
        <v>145</v>
      </c>
      <c r="C95" s="64"/>
      <c r="D95" s="60">
        <v>200000</v>
      </c>
      <c r="E95" s="59">
        <v>3</v>
      </c>
      <c r="F95" s="61">
        <f t="shared" si="1"/>
        <v>600000</v>
      </c>
    </row>
    <row r="96" spans="1:6">
      <c r="A96" s="62"/>
      <c r="B96" s="58" t="s">
        <v>146</v>
      </c>
      <c r="C96" s="64"/>
      <c r="D96" s="60">
        <v>10000</v>
      </c>
      <c r="E96" s="59">
        <v>10</v>
      </c>
      <c r="F96" s="61">
        <f t="shared" si="1"/>
        <v>100000</v>
      </c>
    </row>
    <row r="97" ht="18" spans="1:6">
      <c r="A97" s="66" t="s">
        <v>110</v>
      </c>
      <c r="B97" s="67"/>
      <c r="C97" s="66"/>
      <c r="D97" s="67"/>
      <c r="E97" s="66"/>
      <c r="F97" s="68">
        <f>SUM(F67:F96)</f>
        <v>30460000</v>
      </c>
    </row>
    <row r="98" ht="18" spans="1:7">
      <c r="A98" s="69" t="s">
        <v>147</v>
      </c>
      <c r="B98" s="70"/>
      <c r="C98" s="69"/>
      <c r="D98" s="70"/>
      <c r="E98" s="69"/>
      <c r="F98" s="71">
        <f>F97+F62</f>
        <v>386490000</v>
      </c>
      <c r="G98" s="9"/>
    </row>
    <row r="99" ht="18" spans="4:6">
      <c r="D99" s="72"/>
      <c r="E99" s="73"/>
      <c r="F99" s="74"/>
    </row>
    <row r="100" ht="18" spans="4:6">
      <c r="D100" s="72"/>
      <c r="E100" s="73"/>
      <c r="F100" s="74"/>
    </row>
  </sheetData>
  <mergeCells count="27">
    <mergeCell ref="A1:F1"/>
    <mergeCell ref="A62:E62"/>
    <mergeCell ref="A64:F64"/>
    <mergeCell ref="E65:F65"/>
    <mergeCell ref="A97:E97"/>
    <mergeCell ref="A98:E98"/>
    <mergeCell ref="D99:E99"/>
    <mergeCell ref="D100:E100"/>
    <mergeCell ref="A3:A6"/>
    <mergeCell ref="A7:A12"/>
    <mergeCell ref="A13:A14"/>
    <mergeCell ref="A15:A17"/>
    <mergeCell ref="A18:A25"/>
    <mergeCell ref="A26:A29"/>
    <mergeCell ref="A30:A32"/>
    <mergeCell ref="A33:A48"/>
    <mergeCell ref="A49:A61"/>
    <mergeCell ref="A65:A66"/>
    <mergeCell ref="A67:A96"/>
    <mergeCell ref="B65:B66"/>
    <mergeCell ref="C53:C56"/>
    <mergeCell ref="C65:C66"/>
    <mergeCell ref="D49:D52"/>
    <mergeCell ref="D53:D56"/>
    <mergeCell ref="E49:E52"/>
    <mergeCell ref="E53:E56"/>
    <mergeCell ref="F49:F52"/>
  </mergeCells>
  <pageMargins left="0.75" right="0.75" top="1" bottom="1" header="0.5" footer="0.5"/>
  <pageSetup paperSize="9" scale="10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zoomScale="143" zoomScaleNormal="143" workbookViewId="0">
      <selection activeCell="A34" sqref="A34:B52"/>
    </sheetView>
  </sheetViews>
  <sheetFormatPr defaultColWidth="8.70796460176991" defaultRowHeight="13.85" outlineLevelCol="1"/>
  <cols>
    <col min="1" max="1" width="38.7079646017699" style="1" customWidth="1"/>
    <col min="2" max="2" width="8.70796460176991" style="2"/>
    <col min="3" max="16384" width="8.70796460176991" style="1"/>
  </cols>
  <sheetData>
    <row r="1" spans="1:2">
      <c r="A1" s="3" t="s">
        <v>148</v>
      </c>
      <c r="B1" s="3" t="s">
        <v>149</v>
      </c>
    </row>
    <row r="2" spans="1:2">
      <c r="A2" s="4" t="s">
        <v>150</v>
      </c>
      <c r="B2" s="5">
        <v>8</v>
      </c>
    </row>
    <row r="3" spans="1:2">
      <c r="A3" s="6" t="s">
        <v>151</v>
      </c>
      <c r="B3" s="7">
        <v>2</v>
      </c>
    </row>
    <row r="4" spans="1:2">
      <c r="A4" s="6" t="s">
        <v>152</v>
      </c>
      <c r="B4" s="7">
        <v>2</v>
      </c>
    </row>
    <row r="5" spans="1:2">
      <c r="A5" s="6" t="s">
        <v>153</v>
      </c>
      <c r="B5" s="7">
        <v>2</v>
      </c>
    </row>
    <row r="6" spans="1:2">
      <c r="A6" s="6" t="s">
        <v>154</v>
      </c>
      <c r="B6" s="7">
        <v>7</v>
      </c>
    </row>
    <row r="7" spans="1:2">
      <c r="A7" s="4" t="s">
        <v>155</v>
      </c>
      <c r="B7" s="5">
        <v>25</v>
      </c>
    </row>
    <row r="8" spans="1:2">
      <c r="A8" s="4" t="s">
        <v>156</v>
      </c>
      <c r="B8" s="5">
        <v>35</v>
      </c>
    </row>
    <row r="9" spans="1:2">
      <c r="A9" s="4" t="s">
        <v>157</v>
      </c>
      <c r="B9" s="5">
        <v>3</v>
      </c>
    </row>
    <row r="10" spans="1:2">
      <c r="A10" s="4" t="s">
        <v>158</v>
      </c>
      <c r="B10" s="5">
        <v>4</v>
      </c>
    </row>
    <row r="11" spans="1:2">
      <c r="A11" s="4" t="s">
        <v>159</v>
      </c>
      <c r="B11" s="5">
        <v>4</v>
      </c>
    </row>
    <row r="12" spans="1:2">
      <c r="A12" s="4" t="s">
        <v>160</v>
      </c>
      <c r="B12" s="5">
        <v>4</v>
      </c>
    </row>
    <row r="13" spans="1:2">
      <c r="A13" s="4" t="s">
        <v>161</v>
      </c>
      <c r="B13" s="5">
        <v>3</v>
      </c>
    </row>
    <row r="14" spans="1:2">
      <c r="A14" s="4" t="s">
        <v>162</v>
      </c>
      <c r="B14" s="5">
        <v>6</v>
      </c>
    </row>
    <row r="15" spans="1:2">
      <c r="A15" s="6" t="s">
        <v>163</v>
      </c>
      <c r="B15" s="7">
        <v>5</v>
      </c>
    </row>
    <row r="16" spans="1:2">
      <c r="A16" s="6" t="s">
        <v>164</v>
      </c>
      <c r="B16" s="7">
        <v>10</v>
      </c>
    </row>
    <row r="17" spans="1:2">
      <c r="A17" s="6" t="s">
        <v>165</v>
      </c>
      <c r="B17" s="7">
        <v>1</v>
      </c>
    </row>
    <row r="18" spans="1:2">
      <c r="A18" s="6" t="s">
        <v>125</v>
      </c>
      <c r="B18" s="7">
        <v>1</v>
      </c>
    </row>
    <row r="19" spans="1:2">
      <c r="A19" s="6" t="s">
        <v>166</v>
      </c>
      <c r="B19" s="7">
        <v>4</v>
      </c>
    </row>
    <row r="20" spans="1:2">
      <c r="A20" s="6" t="s">
        <v>167</v>
      </c>
      <c r="B20" s="7">
        <v>2</v>
      </c>
    </row>
    <row r="21" spans="1:2">
      <c r="A21" s="6" t="s">
        <v>168</v>
      </c>
      <c r="B21" s="7">
        <v>1</v>
      </c>
    </row>
    <row r="22" spans="1:2">
      <c r="A22" s="6" t="s">
        <v>169</v>
      </c>
      <c r="B22" s="7">
        <v>10</v>
      </c>
    </row>
    <row r="23" spans="1:2">
      <c r="A23" s="6" t="s">
        <v>170</v>
      </c>
      <c r="B23" s="7">
        <v>10</v>
      </c>
    </row>
    <row r="24" spans="1:2">
      <c r="A24" s="4" t="s">
        <v>171</v>
      </c>
      <c r="B24" s="5">
        <v>4</v>
      </c>
    </row>
    <row r="25" spans="1:2">
      <c r="A25" s="4" t="s">
        <v>172</v>
      </c>
      <c r="B25" s="5">
        <v>2</v>
      </c>
    </row>
    <row r="26" spans="1:2">
      <c r="A26" s="4" t="s">
        <v>173</v>
      </c>
      <c r="B26" s="5">
        <v>10</v>
      </c>
    </row>
    <row r="27" spans="1:2">
      <c r="A27" s="6" t="s">
        <v>174</v>
      </c>
      <c r="B27" s="7">
        <v>2</v>
      </c>
    </row>
    <row r="28" spans="1:2">
      <c r="A28" s="4" t="s">
        <v>175</v>
      </c>
      <c r="B28" s="5">
        <v>3</v>
      </c>
    </row>
    <row r="29" spans="1:2">
      <c r="A29" s="6" t="s">
        <v>176</v>
      </c>
      <c r="B29" s="7">
        <v>7</v>
      </c>
    </row>
    <row r="30" spans="1:2">
      <c r="A30" s="6" t="s">
        <v>177</v>
      </c>
      <c r="B30" s="7">
        <v>2</v>
      </c>
    </row>
    <row r="31" spans="1:2">
      <c r="A31" s="6" t="s">
        <v>178</v>
      </c>
      <c r="B31" s="7">
        <v>2</v>
      </c>
    </row>
    <row r="32" spans="1:2">
      <c r="A32" s="6" t="s">
        <v>179</v>
      </c>
      <c r="B32" s="7">
        <v>2</v>
      </c>
    </row>
    <row r="33" spans="1:2">
      <c r="A33" s="4" t="s">
        <v>180</v>
      </c>
      <c r="B33" s="5">
        <v>2</v>
      </c>
    </row>
    <row r="34" spans="1:2">
      <c r="A34" s="6" t="s">
        <v>181</v>
      </c>
      <c r="B34" s="7">
        <v>10</v>
      </c>
    </row>
    <row r="35" spans="1:2">
      <c r="A35" s="4" t="s">
        <v>182</v>
      </c>
      <c r="B35" s="5">
        <v>2</v>
      </c>
    </row>
    <row r="36" spans="1:2">
      <c r="A36" s="4" t="s">
        <v>183</v>
      </c>
      <c r="B36" s="5">
        <v>8</v>
      </c>
    </row>
    <row r="37" spans="1:2">
      <c r="A37" s="6" t="s">
        <v>184</v>
      </c>
      <c r="B37" s="7">
        <v>10</v>
      </c>
    </row>
    <row r="38" spans="1:2">
      <c r="A38" s="6" t="s">
        <v>185</v>
      </c>
      <c r="B38" s="7">
        <v>10</v>
      </c>
    </row>
    <row r="39" spans="1:2">
      <c r="A39" s="6" t="s">
        <v>186</v>
      </c>
      <c r="B39" s="7">
        <v>3</v>
      </c>
    </row>
    <row r="40" spans="1:2">
      <c r="A40" s="6" t="s">
        <v>187</v>
      </c>
      <c r="B40" s="7">
        <v>2</v>
      </c>
    </row>
    <row r="41" spans="1:2">
      <c r="A41" s="4" t="s">
        <v>188</v>
      </c>
      <c r="B41" s="5">
        <v>30</v>
      </c>
    </row>
    <row r="42" spans="1:2">
      <c r="A42" s="4" t="s">
        <v>189</v>
      </c>
      <c r="B42" s="5">
        <v>30</v>
      </c>
    </row>
    <row r="43" spans="1:2">
      <c r="A43" s="6" t="s">
        <v>190</v>
      </c>
      <c r="B43" s="7">
        <v>23</v>
      </c>
    </row>
    <row r="44" spans="1:2">
      <c r="A44" s="6" t="s">
        <v>191</v>
      </c>
      <c r="B44" s="7">
        <v>2</v>
      </c>
    </row>
    <row r="45" spans="1:2">
      <c r="A45" s="6" t="s">
        <v>141</v>
      </c>
      <c r="B45" s="7">
        <v>5</v>
      </c>
    </row>
    <row r="46" spans="1:2">
      <c r="A46" s="6" t="s">
        <v>192</v>
      </c>
      <c r="B46" s="7">
        <v>5</v>
      </c>
    </row>
    <row r="47" spans="1:2">
      <c r="A47" s="6" t="s">
        <v>193</v>
      </c>
      <c r="B47" s="7">
        <v>10</v>
      </c>
    </row>
    <row r="48" spans="1:2">
      <c r="A48" s="6" t="s">
        <v>143</v>
      </c>
      <c r="B48" s="7">
        <v>10</v>
      </c>
    </row>
    <row r="49" spans="1:2">
      <c r="A49" s="6" t="s">
        <v>194</v>
      </c>
      <c r="B49" s="7">
        <v>50</v>
      </c>
    </row>
    <row r="50" spans="1:2">
      <c r="A50" s="6" t="s">
        <v>195</v>
      </c>
      <c r="B50" s="7">
        <v>3</v>
      </c>
    </row>
    <row r="51" spans="1:2">
      <c r="A51" s="6" t="s">
        <v>196</v>
      </c>
      <c r="B51" s="7">
        <v>3</v>
      </c>
    </row>
    <row r="52" spans="1:2">
      <c r="A52" s="6" t="s">
        <v>197</v>
      </c>
      <c r="B52" s="7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Lembar1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Bagus</cp:lastModifiedBy>
  <dcterms:created xsi:type="dcterms:W3CDTF">2025-10-08T01:49:00Z</dcterms:created>
  <dcterms:modified xsi:type="dcterms:W3CDTF">2026-01-05T12:06:29Z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C9D9BCBC7F69466799CF1CC8A4EE859E_13</vt:lpwstr>
  </property>
  <property fmtid="{D5CDD505-2E9C-101B-9397-08002B2CF9AE}" pid="3" name="KSOProductBuildVer">
    <vt:lpwstr>1033-12.2.0.23196</vt:lpwstr>
  </property>
</Properties>
</file>